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customUI.xml" ContentType="application/xml"/>
</Types>
</file>

<file path=_rels/.rels><?xml version='1.0' encoding='UTF-8'?>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Relationship Id="rIdGreRibbon1" Type="http://schemas.microsoft.com/office/2006/relationships/ui/extensibility" Target="customUI/customUI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codeName="ThisWorkbook"/>
  <mc:AlternateContent xmlns:mc="http://schemas.openxmlformats.org/markup-compatibility/2006">
    <mc:Choice Requires="x15">
      <x15ac:absPath xmlns:x15ac="http://schemas.microsoft.com/office/spreadsheetml/2010/11/ac" url="C:\Mac\Home\Documents\Map\CompanyTools\BERTToolkit\excel\templates\"/>
    </mc:Choice>
  </mc:AlternateContent>
  <xr:revisionPtr revIDLastSave="0" documentId="13_ncr:1_{58248211-B2FC-40AC-A5D5-85B8D8ED8C99}" xr6:coauthVersionLast="47" xr6:coauthVersionMax="47" xr10:uidLastSave="{00000000-0000-0000-0000-000000000000}"/>
  <bookViews>
    <workbookView xWindow="-518" yWindow="1065" windowWidth="21601" windowHeight="9555" xr2:uid="{EBCE431A-366A-4E13-B4BF-9425C04BC434}"/>
  </bookViews>
  <sheets>
    <sheet name="RMStoYELT" sheetId="1" r:id="rId1"/>
  </sheets>
  <externalReferences>
    <externalReference r:id="rId2"/>
  </externalReferences>
  <definedNames>
    <definedName name="_Fill" hidden="1">#REF!</definedName>
    <definedName name="_Fill1" hidden="1">#REF!</definedName>
    <definedName name="_Key1" hidden="1">#REF!</definedName>
    <definedName name="_Key11" hidden="1">#REF!</definedName>
    <definedName name="_Key2" hidden="1">#REF!</definedName>
    <definedName name="_Order1" hidden="1">1</definedName>
    <definedName name="_Order2" hidden="1">255</definedName>
    <definedName name="_P" hidden="1">#REF!</definedName>
    <definedName name="_Sort" hidden="1">#REF!</definedName>
    <definedName name="_xleta.AND" hidden="1" xlm="1">#NAME?</definedName>
    <definedName name="_xleta.IFS" hidden="1" xlm="1">#NAME?</definedName>
    <definedName name="a" hidden="1">#REF!</definedName>
    <definedName name="Agg_EQ_Current_NW">[1]Input_Agg!$X$24</definedName>
    <definedName name="Agg_EQ_Prior_NW">[1]Input_Agg!$W$24</definedName>
    <definedName name="Agg_WF_Current_NW">[1]Input_Agg!$X$16</definedName>
    <definedName name="Agg_WF_Prior_NW">[1]Input_Agg!$W$16</definedName>
    <definedName name="_xlnm.Database" hidden="1">#REF!</definedName>
    <definedName name="ExternalData_1" localSheetId="0">RMStoYELT!$G$27:$G$31</definedName>
    <definedName name="ExternalData_10" localSheetId="0">RMStoYELT!#REF!</definedName>
    <definedName name="ExternalData_11" localSheetId="0">RMStoYELT!#REF!</definedName>
    <definedName name="ExternalData_12" localSheetId="0">RMStoYELT!#REF!</definedName>
    <definedName name="ExternalData_13" localSheetId="0">RMStoYELT!#REF!</definedName>
    <definedName name="ExternalData_14" localSheetId="0">RMStoYELT!#REF!</definedName>
    <definedName name="ExternalData_15" localSheetId="0">RMStoYELT!#REF!</definedName>
    <definedName name="ExternalData_16" localSheetId="0">RMStoYELT!#REF!</definedName>
    <definedName name="ExternalData_17" localSheetId="0">RMStoYELT!#REF!</definedName>
    <definedName name="ExternalData_18" localSheetId="0">RMStoYELT!#REF!</definedName>
    <definedName name="ExternalData_2" localSheetId="0">RMStoYELT!$G$27:$G$31</definedName>
    <definedName name="ExternalData_3" localSheetId="0">RMStoYELT!$G$27:$G$31</definedName>
    <definedName name="ExternalData_4" localSheetId="0">RMStoYELT!$G$27:$G$31</definedName>
    <definedName name="ExternalData_5" localSheetId="0">RMStoYELT!$G$27:$G$31</definedName>
    <definedName name="ExternalData_6" localSheetId="0">RMStoYELT!#REF!</definedName>
    <definedName name="ExternalData_7" localSheetId="0">RMStoYELT!#REF!</definedName>
    <definedName name="ExternalData_8" localSheetId="0">RMStoYELT!#REF!</definedName>
    <definedName name="ExternalData_9" localSheetId="0">RMStoYELT!#REF!</definedName>
    <definedName name="GE" hidden="1">#REF!</definedName>
    <definedName name="GNPI_Act_Current">[1]Input_GNPI!$O$14</definedName>
    <definedName name="GNPI_Act_Prior">[1]Input_GNPI!$N$13</definedName>
    <definedName name="GNPI_Current">[1]Input_GNPI!$P$15</definedName>
    <definedName name="GNPI_Latest">[1]Input_GNPI!$H$13:$H$112</definedName>
    <definedName name="GNPI_Latest_Prior">[1]Input_GNPI!$I$13:$I$112</definedName>
    <definedName name="GNPI_Prior">[1]Input_GNPI!$O$15</definedName>
    <definedName name="GNPI_TY">[1]Input_GNPI!$C$13:$C$112</definedName>
    <definedName name="GNPI_Type">[1]Input_GNPI!$D$13:$D$112</definedName>
    <definedName name="Layer_Coverage">[1]Input_Layers!$C$13:$C$27</definedName>
    <definedName name="Layer_Deductible" localSheetId="0">[1]Input_Layers!$E$13:$E$27</definedName>
    <definedName name="Layer_Deductible">[1]Input_Layers!$E$13:$E$27</definedName>
    <definedName name="Layer_ID" localSheetId="0">[1]Input_Layers!$B$13:$B$27</definedName>
    <definedName name="Layer_ID">[1]Input_Layers!$B$13:$B$27</definedName>
    <definedName name="Layer_Keyzone">[1]Input_Layers!$L$13:$L$27</definedName>
    <definedName name="Layer_Limit" localSheetId="0">[1]Input_Layers!$D$13:$D$27</definedName>
    <definedName name="Layer_Limit">[1]Input_Layers!$D$13:$D$27</definedName>
    <definedName name="Layer_Name" localSheetId="0">[1]Input_Layers!$N$13:$N$27</definedName>
    <definedName name="Layer_Name">[1]Input_Layers!$N$13:$N$27</definedName>
    <definedName name="Layer_ReinstNo">[1]Input_Layers!$F$13:$F$27</definedName>
    <definedName name="Layer_ReinstPct">[1]Input_Layers!$H$13:$H$27</definedName>
    <definedName name="Layer_ROL" localSheetId="0">[1]Input_Layers!$I$13:$I$27</definedName>
    <definedName name="Layer_ROL">[1]Input_Layers!$I$13:$I$27</definedName>
    <definedName name="NL" hidden="1">#REF!</definedName>
    <definedName name="P" hidden="1">#REF!</definedName>
    <definedName name="_xlnm.Print_Titles" localSheetId="0" hidden="1">#N/A</definedName>
    <definedName name="Rng_ILFList">[1]ILFCurves!$A$2:$A$20</definedName>
    <definedName name="RNL_Year">[1]Control_Module!$C$13</definedName>
    <definedName name="s" hidden="1">#REF!</definedName>
    <definedName name="Sim_LayerInfo" localSheetId="0">RMStoYELT!#REF!</definedName>
    <definedName name="TOTALEPI" hidden="1">#REF!</definedName>
    <definedName name="ZXC" localSheetId="0" hidden="1">#REF!</definedName>
    <definedName name="ZXC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14" i="1" l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A1" i="1"/>
</calcChain>
</file>

<file path=xl/sharedStrings.xml><?xml version="1.0" encoding="utf-8"?>
<sst xmlns="http://schemas.openxmlformats.org/spreadsheetml/2006/main" count="15" uniqueCount="15">
  <si>
    <t>Meta Info</t>
  </si>
  <si>
    <t>Gre Tool Module</t>
  </si>
  <si>
    <t>&lt;&lt;RMStoYELT&gt;&gt;</t>
  </si>
  <si>
    <t>Loss Cause Declarations</t>
  </si>
  <si>
    <t>CauseID</t>
  </si>
  <si>
    <t>Peril</t>
  </si>
  <si>
    <t>FilePath</t>
  </si>
  <si>
    <t>Active</t>
  </si>
  <si>
    <t>OutDir</t>
  </si>
  <si>
    <t>OutFileName</t>
  </si>
  <si>
    <t>Bulk import</t>
  </si>
  <si>
    <t>Folder Path:</t>
  </si>
  <si>
    <t>Simulation Years</t>
  </si>
  <si>
    <t>Input</t>
  </si>
  <si>
    <t>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</si>
</sst>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.000_);_(* \(#,##0.000\);_(* &quot;-&quot;??_);_(@_)"/>
  </numFmts>
  <fonts count="11">
    <font>
      <sz val="11"/>
      <color theme="1"/>
      <name val="Calibri"/>
      <family val="2"/>
      <charset val="134"/>
    </font>
    <font>
      <sz val="10"/>
      <name val="Arial"/>
      <family val="2"/>
    </font>
    <font>
      <sz val="11"/>
      <color theme="1"/>
      <name val="Calibri"/>
      <family val="2"/>
      <charset val="134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rgb="FF00B050"/>
      <name val="Arial"/>
      <family val="2"/>
    </font>
    <font>
      <sz val="12"/>
      <color theme="9" tint="-0.249977111117893"/>
      <name val="Arial"/>
      <family val="2"/>
    </font>
    <font>
      <b/>
      <sz val="11"/>
      <color rgb="FFFFFFFF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3778"/>
        <bgColor indexed="64"/>
      </patternFill>
    </fill>
    <fill>
      <patternFill patternType="solid">
        <fgColor rgb="FFD9E1F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1" fillId="0" borderId="0"/>
    <xf numFmtId="43" fontId="5" fillId="0" borderId="0" applyFont="0" applyFill="0" applyBorder="0" applyAlignment="0" applyProtection="0"/>
  </cellStyleXfs>
  <cellXfs count="24">
    <xf numFmtId="0" fontId="0" fillId="0" borderId="0" xfId="0"/>
    <xf numFmtId="0" fontId="1" fillId="2" borderId="0" xfId="2" applyFill="1"/>
    <xf numFmtId="3" fontId="1" fillId="2" borderId="0" xfId="2" applyNumberFormat="1" applyFill="1"/>
    <xf numFmtId="164" fontId="1" fillId="2" borderId="0" xfId="1" applyNumberFormat="1" applyFont="1" applyFill="1"/>
    <xf numFmtId="0" fontId="3" fillId="3" borderId="1" xfId="2" applyFont="1" applyFill="1" applyBorder="1" applyAlignment="1">
      <alignment horizontal="center"/>
    </xf>
    <xf numFmtId="0" fontId="4" fillId="0" borderId="2" xfId="0" applyFont="1" applyBorder="1"/>
    <xf numFmtId="0" fontId="1" fillId="0" borderId="3" xfId="0" applyFont="1" applyBorder="1" applyAlignment="1">
      <alignment horizontal="left"/>
    </xf>
    <xf numFmtId="0" fontId="5" fillId="0" borderId="2" xfId="0" applyFont="1" applyBorder="1" applyAlignment="1">
      <alignment horizontal="center"/>
    </xf>
    <xf numFmtId="0" fontId="6" fillId="0" borderId="3" xfId="0" applyFont="1" applyBorder="1" applyAlignment="1">
      <alignment horizontal="left"/>
    </xf>
    <xf numFmtId="0" fontId="5" fillId="0" borderId="2" xfId="0" quotePrefix="1" applyFont="1" applyBorder="1" applyAlignment="1">
      <alignment horizontal="center"/>
    </xf>
    <xf numFmtId="0" fontId="7" fillId="0" borderId="3" xfId="0" applyFont="1" applyBorder="1" applyAlignment="1">
      <alignment horizontal="left"/>
    </xf>
    <xf numFmtId="0" fontId="5" fillId="0" borderId="4" xfId="0" quotePrefix="1" applyFont="1" applyBorder="1" applyAlignment="1">
      <alignment horizontal="center"/>
    </xf>
    <xf numFmtId="0" fontId="7" fillId="0" borderId="5" xfId="0" applyFont="1" applyBorder="1" applyAlignment="1">
      <alignment horizontal="left"/>
    </xf>
    <xf numFmtId="0" fontId="1" fillId="0" borderId="0" xfId="2"/>
    <xf numFmtId="164" fontId="1" fillId="0" borderId="0" xfId="1" applyNumberFormat="1" applyFont="1"/>
    <xf numFmtId="0" fontId="8" fillId="4" borderId="1" xfId="0" applyFont="1" applyFill="1" applyBorder="1" applyAlignment="1">
      <alignment wrapText="1"/>
    </xf>
    <xf numFmtId="164" fontId="8" fillId="4" borderId="1" xfId="1" applyNumberFormat="1" applyFont="1" applyFill="1" applyBorder="1" applyAlignment="1">
      <alignment wrapText="1"/>
    </xf>
    <xf numFmtId="0" fontId="9" fillId="5" borderId="1" xfId="0" applyFont="1" applyFill="1" applyBorder="1" applyAlignment="1">
      <alignment horizontal="left"/>
    </xf>
    <xf numFmtId="164" fontId="9" fillId="5" borderId="1" xfId="1" applyNumberFormat="1" applyFont="1" applyFill="1" applyBorder="1" applyAlignment="1">
      <alignment horizontal="left"/>
    </xf>
    <xf numFmtId="0" fontId="10" fillId="2" borderId="1" xfId="0" applyFont="1" applyFill="1" applyBorder="1" applyAlignment="1">
      <alignment horizontal="left"/>
    </xf>
    <xf numFmtId="164" fontId="10" fillId="2" borderId="1" xfId="1" applyNumberFormat="1" applyFont="1" applyFill="1" applyBorder="1" applyAlignment="1">
      <alignment horizontal="left"/>
    </xf>
    <xf numFmtId="0" fontId="1" fillId="2" borderId="1" xfId="2" applyFill="1" applyBorder="1"/>
    <xf numFmtId="0" fontId="5" fillId="0" borderId="0" xfId="0" quotePrefix="1" applyFont="1" applyBorder="1" applyAlignment="1">
      <alignment horizontal="center"/>
    </xf>
    <xf numFmtId="0" fontId="7" fillId="0" borderId="0" xfId="0" applyFont="1" applyBorder="1" applyAlignment="1">
      <alignment horizontal="left"/>
    </xf>
  </cellXfs>
  <cellStyles count="4">
    <cellStyle name="Normal 2 10" xfId="2" xr:uid="{9FC9C111-F412-4447-B9ED-D9881C293F2A}"/>
    <cellStyle name="千位分隔" xfId="1" builtinId="3"/>
    <cellStyle name="千位分隔 33" xfId="3" xr:uid="{F1577B99-D04D-4C73-9146-83004E93857E}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21</xdr:row>
      <xdr:rowOff>8660</xdr:rowOff>
    </xdr:from>
    <xdr:to>
      <xdr:col>3</xdr:col>
      <xdr:colOff>1528330</xdr:colOff>
      <xdr:row>22</xdr:row>
      <xdr:rowOff>149801</xdr:rowOff>
    </xdr:to>
    <xdr:sp macro="BTK_BrowseRMStoYELTSourceFile" textlink="">
      <xdr:nvSpPr>
        <xdr:cNvPr id="2" name="BTK_RMStoYELT_BrowseSource_Button">
          <a:extLst>
            <a:ext uri="{FF2B5EF4-FFF2-40B4-BE49-F238E27FC236}">
              <a16:creationId xmlns:a16="http://schemas.microsoft.com/office/drawing/2014/main" id="{77274CCE-DAF3-48EF-873E-6CF58922E768}"/>
            </a:ext>
          </a:extLst>
        </xdr:cNvPr>
        <xdr:cNvSpPr/>
      </xdr:nvSpPr>
      <xdr:spPr>
        <a:xfrm>
          <a:off x="3209925" y="2537548"/>
          <a:ext cx="1528330" cy="303066"/>
        </a:xfrm>
        <a:prstGeom prst="roundRect">
          <a:avLst/>
        </a:prstGeom>
        <a:solidFill>
          <a:srgbClr val="2F75B5"/>
        </a:solidFill>
        <a:ln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Browse Source</a:t>
          </a:r>
        </a:p>
      </xdr:txBody>
    </xdr:sp>
    <xdr:clientData/>
  </xdr:twoCellAnchor>
  <xdr:twoCellAnchor>
    <xdr:from>
      <xdr:col>1</xdr:col>
      <xdr:colOff>1047750</xdr:colOff>
      <xdr:row>9</xdr:row>
      <xdr:rowOff>69270</xdr:rowOff>
    </xdr:from>
    <xdr:to>
      <xdr:col>3</xdr:col>
      <xdr:colOff>21647</xdr:colOff>
      <xdr:row>11</xdr:row>
      <xdr:rowOff>45888</xdr:rowOff>
    </xdr:to>
    <xdr:sp macro="BTK_BrowseRMStoYELTFolder" textlink="">
      <xdr:nvSpPr>
        <xdr:cNvPr id="4" name="BTK_RMStoYELT_BrowseFolder_Button">
          <a:extLst>
            <a:ext uri="{FF2B5EF4-FFF2-40B4-BE49-F238E27FC236}">
              <a16:creationId xmlns:a16="http://schemas.microsoft.com/office/drawing/2014/main" id="{FBB3DB71-C83E-43BA-863B-DED73BE5E6C4}"/>
            </a:ext>
          </a:extLst>
        </xdr:cNvPr>
        <xdr:cNvSpPr/>
      </xdr:nvSpPr>
      <xdr:spPr>
        <a:xfrm>
          <a:off x="1705841" y="1463385"/>
          <a:ext cx="1528330" cy="305663"/>
        </a:xfrm>
        <a:prstGeom prst="roundRect">
          <a:avLst/>
        </a:prstGeom>
        <a:solidFill>
          <a:srgbClr val="2F75B5"/>
        </a:solidFill>
        <a:ln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Browse</a:t>
          </a:r>
          <a:r>
            <a:rPr lang="en-US" sz="1000" b="1" baseline="0">
              <a:solidFill>
                <a:srgbClr val="FFFFFF"/>
              </a:solidFill>
            </a:rPr>
            <a:t> Folder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Mac\Home\Documents\Map\CompanyTools\BERTToolkit\excel\templates\Template_XOL_Pricing_Tool.xlsm" TargetMode="External"/><Relationship Id="rId1" Type="http://schemas.openxmlformats.org/officeDocument/2006/relationships/externalLinkPath" Target="Template_XOL_Pricing_To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_Module"/>
      <sheetName val="Portfolio=&gt;"/>
      <sheetName val="Input_GNPI"/>
      <sheetName val="Input_Agg"/>
      <sheetName val="Input_Layers"/>
      <sheetName val="Portfolio"/>
      <sheetName val="Input_Profile"/>
      <sheetName val="MBCurves"/>
      <sheetName val="RiskXL=&gt;"/>
      <sheetName val="Risk Loss Fitting"/>
      <sheetName val="BC_Risk"/>
      <sheetName val="RelativePrice"/>
      <sheetName val="Price_Expo"/>
      <sheetName val="Helper_RiskLoss On-Level"/>
      <sheetName val="Helper_Net PremRate"/>
      <sheetName val="Risk_LossInLayer"/>
      <sheetName val="PriceSelection_Risk"/>
      <sheetName val="PriceTable_Risk"/>
      <sheetName val="Price_Expr_Dilute"/>
      <sheetName val="Price_Expo_Asif PR"/>
      <sheetName val="CATXL=&gt;"/>
      <sheetName val="CatLossOnLevel"/>
      <sheetName val="RMStoYELT"/>
      <sheetName val="Sim_Variations"/>
      <sheetName val="Sim_RMS"/>
      <sheetName val="Price_Variation"/>
      <sheetName val="CAT Loss Fitting"/>
      <sheetName val="BC_CAT_Actual"/>
      <sheetName val="Loss Contribution"/>
      <sheetName val="CAT_LossInLayer"/>
      <sheetName val="PriceSelection_CAT"/>
      <sheetName val="PriceTable_CAT"/>
      <sheetName val="ILFCurves"/>
    </sheetNames>
    <sheetDataSet>
      <sheetData sheetId="0">
        <row r="13">
          <cell r="C13">
            <v>2026</v>
          </cell>
        </row>
      </sheetData>
      <sheetData sheetId="1" refreshError="1"/>
      <sheetData sheetId="2">
        <row r="13">
          <cell r="C13">
            <v>2018</v>
          </cell>
          <cell r="D13" t="str">
            <v>Actual</v>
          </cell>
          <cell r="H13">
            <v>249559258.47169802</v>
          </cell>
          <cell r="I13">
            <v>249559258.47169802</v>
          </cell>
          <cell r="N13">
            <v>1225769092.9901242</v>
          </cell>
        </row>
        <row r="14">
          <cell r="C14">
            <v>2018</v>
          </cell>
          <cell r="D14" t="str">
            <v>Actual</v>
          </cell>
          <cell r="H14">
            <v>56111922.773584887</v>
          </cell>
          <cell r="I14">
            <v>56111922.773584887</v>
          </cell>
          <cell r="O14">
            <v>1250000000</v>
          </cell>
        </row>
        <row r="15">
          <cell r="C15">
            <v>2019</v>
          </cell>
          <cell r="D15" t="str">
            <v>Actual</v>
          </cell>
          <cell r="H15">
            <v>406552910.08490551</v>
          </cell>
          <cell r="I15">
            <v>406552910.08490551</v>
          </cell>
          <cell r="O15">
            <v>1408000000</v>
          </cell>
          <cell r="P15">
            <v>1420000000</v>
          </cell>
        </row>
        <row r="16">
          <cell r="C16">
            <v>2019</v>
          </cell>
          <cell r="D16" t="str">
            <v>Actual</v>
          </cell>
          <cell r="H16">
            <v>85378238.53773582</v>
          </cell>
          <cell r="I16">
            <v>85378238.53773582</v>
          </cell>
        </row>
        <row r="17">
          <cell r="C17">
            <v>2020</v>
          </cell>
          <cell r="D17" t="str">
            <v>Actual</v>
          </cell>
          <cell r="H17">
            <v>573149657.74731183</v>
          </cell>
          <cell r="I17">
            <v>573149657.74731183</v>
          </cell>
        </row>
        <row r="18">
          <cell r="C18">
            <v>2020</v>
          </cell>
          <cell r="D18" t="str">
            <v>Actual</v>
          </cell>
          <cell r="H18">
            <v>99565349.575140744</v>
          </cell>
          <cell r="I18">
            <v>99565349.575140744</v>
          </cell>
        </row>
        <row r="19">
          <cell r="C19">
            <v>2021</v>
          </cell>
          <cell r="D19" t="str">
            <v>Actual</v>
          </cell>
          <cell r="H19">
            <v>666488197.59905636</v>
          </cell>
          <cell r="I19">
            <v>666488197.59905636</v>
          </cell>
        </row>
        <row r="20">
          <cell r="C20">
            <v>2021</v>
          </cell>
          <cell r="D20" t="str">
            <v>Actual</v>
          </cell>
          <cell r="H20">
            <v>120476280.60141504</v>
          </cell>
          <cell r="I20">
            <v>120476280.60141504</v>
          </cell>
        </row>
        <row r="21">
          <cell r="C21">
            <v>2022</v>
          </cell>
          <cell r="D21" t="str">
            <v>Actual</v>
          </cell>
          <cell r="H21">
            <v>787626935.8047173</v>
          </cell>
          <cell r="I21">
            <v>787626935.8047173</v>
          </cell>
        </row>
        <row r="22">
          <cell r="C22">
            <v>2022</v>
          </cell>
          <cell r="D22" t="str">
            <v>Actual</v>
          </cell>
          <cell r="H22">
            <v>158023051.68396217</v>
          </cell>
          <cell r="I22">
            <v>158023051.68396217</v>
          </cell>
        </row>
        <row r="23">
          <cell r="C23">
            <v>2023</v>
          </cell>
          <cell r="D23" t="str">
            <v>Actual</v>
          </cell>
          <cell r="H23">
            <v>861538304.42490554</v>
          </cell>
          <cell r="I23">
            <v>861538304.42490554</v>
          </cell>
        </row>
        <row r="24">
          <cell r="C24">
            <v>2023</v>
          </cell>
          <cell r="D24" t="str">
            <v>Actual</v>
          </cell>
          <cell r="H24">
            <v>222917048.27301881</v>
          </cell>
          <cell r="I24">
            <v>222917048.27301881</v>
          </cell>
        </row>
        <row r="25">
          <cell r="C25">
            <v>2024</v>
          </cell>
          <cell r="D25" t="str">
            <v>Actual</v>
          </cell>
          <cell r="H25">
            <v>955326429.59012425</v>
          </cell>
          <cell r="I25">
            <v>955326429.59012425</v>
          </cell>
        </row>
        <row r="26">
          <cell r="C26">
            <v>2024</v>
          </cell>
          <cell r="D26" t="str">
            <v>Actual</v>
          </cell>
          <cell r="H26">
            <v>270442663.39999998</v>
          </cell>
          <cell r="I26">
            <v>270442663.39999998</v>
          </cell>
        </row>
        <row r="27">
          <cell r="C27">
            <v>2025</v>
          </cell>
          <cell r="D27" t="str">
            <v>Estimate</v>
          </cell>
          <cell r="H27" t="str">
            <v/>
          </cell>
          <cell r="I27">
            <v>1100000000</v>
          </cell>
        </row>
        <row r="28">
          <cell r="C28">
            <v>2025</v>
          </cell>
          <cell r="D28" t="str">
            <v>Estimate</v>
          </cell>
          <cell r="H28" t="str">
            <v/>
          </cell>
          <cell r="I28">
            <v>308000000</v>
          </cell>
        </row>
        <row r="29">
          <cell r="C29">
            <v>2025</v>
          </cell>
          <cell r="D29" t="str">
            <v>Revised</v>
          </cell>
          <cell r="H29">
            <v>980000000</v>
          </cell>
          <cell r="I29" t="str">
            <v/>
          </cell>
        </row>
        <row r="30">
          <cell r="C30">
            <v>2025</v>
          </cell>
          <cell r="D30" t="str">
            <v>Revised</v>
          </cell>
          <cell r="H30">
            <v>270000000</v>
          </cell>
          <cell r="I30" t="str">
            <v/>
          </cell>
        </row>
        <row r="31">
          <cell r="C31">
            <v>2026</v>
          </cell>
          <cell r="D31" t="str">
            <v>Estimate</v>
          </cell>
          <cell r="H31">
            <v>1120000000</v>
          </cell>
          <cell r="I31" t="str">
            <v/>
          </cell>
        </row>
        <row r="32">
          <cell r="C32">
            <v>2026</v>
          </cell>
          <cell r="D32" t="str">
            <v>Estimate</v>
          </cell>
          <cell r="H32">
            <v>300000000</v>
          </cell>
          <cell r="I32" t="str">
            <v/>
          </cell>
        </row>
        <row r="33">
          <cell r="H33" t="str">
            <v/>
          </cell>
          <cell r="I33" t="str">
            <v/>
          </cell>
        </row>
        <row r="34">
          <cell r="H34" t="str">
            <v/>
          </cell>
          <cell r="I34" t="str">
            <v/>
          </cell>
        </row>
        <row r="35">
          <cell r="H35" t="str">
            <v/>
          </cell>
          <cell r="I35" t="str">
            <v/>
          </cell>
        </row>
        <row r="36">
          <cell r="H36" t="str">
            <v/>
          </cell>
          <cell r="I36" t="str">
            <v/>
          </cell>
        </row>
        <row r="37">
          <cell r="H37" t="str">
            <v/>
          </cell>
          <cell r="I37" t="str">
            <v/>
          </cell>
        </row>
        <row r="38">
          <cell r="H38" t="str">
            <v/>
          </cell>
          <cell r="I38" t="str">
            <v/>
          </cell>
        </row>
        <row r="39">
          <cell r="H39" t="str">
            <v/>
          </cell>
          <cell r="I39" t="str">
            <v/>
          </cell>
        </row>
        <row r="40">
          <cell r="H40" t="str">
            <v/>
          </cell>
          <cell r="I40" t="str">
            <v/>
          </cell>
        </row>
        <row r="41">
          <cell r="H41" t="str">
            <v/>
          </cell>
          <cell r="I41" t="str">
            <v/>
          </cell>
        </row>
        <row r="42">
          <cell r="H42" t="str">
            <v/>
          </cell>
          <cell r="I42" t="str">
            <v/>
          </cell>
        </row>
        <row r="43">
          <cell r="H43" t="str">
            <v/>
          </cell>
          <cell r="I43" t="str">
            <v/>
          </cell>
        </row>
        <row r="44">
          <cell r="H44" t="str">
            <v/>
          </cell>
          <cell r="I44" t="str">
            <v/>
          </cell>
        </row>
        <row r="45">
          <cell r="H45" t="str">
            <v/>
          </cell>
          <cell r="I45" t="str">
            <v/>
          </cell>
        </row>
        <row r="46">
          <cell r="H46" t="str">
            <v/>
          </cell>
          <cell r="I46" t="str">
            <v/>
          </cell>
        </row>
        <row r="47">
          <cell r="H47" t="str">
            <v/>
          </cell>
          <cell r="I47" t="str">
            <v/>
          </cell>
        </row>
        <row r="48">
          <cell r="H48" t="str">
            <v/>
          </cell>
          <cell r="I48" t="str">
            <v/>
          </cell>
        </row>
        <row r="49">
          <cell r="H49" t="str">
            <v/>
          </cell>
          <cell r="I49" t="str">
            <v/>
          </cell>
        </row>
        <row r="50">
          <cell r="H50" t="str">
            <v/>
          </cell>
          <cell r="I50" t="str">
            <v/>
          </cell>
        </row>
        <row r="51">
          <cell r="H51" t="str">
            <v/>
          </cell>
          <cell r="I51" t="str">
            <v/>
          </cell>
        </row>
        <row r="52">
          <cell r="H52" t="str">
            <v/>
          </cell>
          <cell r="I52" t="str">
            <v/>
          </cell>
        </row>
        <row r="53">
          <cell r="H53" t="str">
            <v/>
          </cell>
          <cell r="I53" t="str">
            <v/>
          </cell>
        </row>
        <row r="54">
          <cell r="H54" t="str">
            <v/>
          </cell>
          <cell r="I54" t="str">
            <v/>
          </cell>
        </row>
        <row r="55">
          <cell r="H55" t="str">
            <v/>
          </cell>
          <cell r="I55" t="str">
            <v/>
          </cell>
        </row>
        <row r="56">
          <cell r="H56" t="str">
            <v/>
          </cell>
          <cell r="I56" t="str">
            <v/>
          </cell>
        </row>
        <row r="57">
          <cell r="H57" t="str">
            <v/>
          </cell>
          <cell r="I57" t="str">
            <v/>
          </cell>
        </row>
        <row r="58">
          <cell r="H58" t="str">
            <v/>
          </cell>
          <cell r="I58" t="str">
            <v/>
          </cell>
        </row>
        <row r="59">
          <cell r="H59" t="str">
            <v/>
          </cell>
          <cell r="I59" t="str">
            <v/>
          </cell>
        </row>
        <row r="60">
          <cell r="H60" t="str">
            <v/>
          </cell>
          <cell r="I60" t="str">
            <v/>
          </cell>
        </row>
        <row r="61">
          <cell r="H61" t="str">
            <v/>
          </cell>
          <cell r="I61" t="str">
            <v/>
          </cell>
        </row>
        <row r="62">
          <cell r="H62" t="str">
            <v/>
          </cell>
          <cell r="I62" t="str">
            <v/>
          </cell>
        </row>
        <row r="63">
          <cell r="H63" t="str">
            <v/>
          </cell>
          <cell r="I63" t="str">
            <v/>
          </cell>
        </row>
        <row r="64">
          <cell r="H64" t="str">
            <v/>
          </cell>
          <cell r="I64" t="str">
            <v/>
          </cell>
        </row>
        <row r="65">
          <cell r="H65" t="str">
            <v/>
          </cell>
          <cell r="I65" t="str">
            <v/>
          </cell>
        </row>
        <row r="66">
          <cell r="H66" t="str">
            <v/>
          </cell>
          <cell r="I66" t="str">
            <v/>
          </cell>
        </row>
        <row r="67">
          <cell r="H67" t="str">
            <v/>
          </cell>
          <cell r="I67" t="str">
            <v/>
          </cell>
        </row>
        <row r="68">
          <cell r="H68" t="str">
            <v/>
          </cell>
          <cell r="I68" t="str">
            <v/>
          </cell>
        </row>
        <row r="69">
          <cell r="H69" t="str">
            <v/>
          </cell>
          <cell r="I69" t="str">
            <v/>
          </cell>
        </row>
        <row r="70">
          <cell r="H70" t="str">
            <v/>
          </cell>
          <cell r="I70" t="str">
            <v/>
          </cell>
        </row>
        <row r="71">
          <cell r="H71" t="str">
            <v/>
          </cell>
          <cell r="I71" t="str">
            <v/>
          </cell>
        </row>
        <row r="72">
          <cell r="H72" t="str">
            <v/>
          </cell>
          <cell r="I72" t="str">
            <v/>
          </cell>
        </row>
        <row r="73">
          <cell r="H73" t="str">
            <v/>
          </cell>
          <cell r="I73" t="str">
            <v/>
          </cell>
        </row>
        <row r="74">
          <cell r="H74" t="str">
            <v/>
          </cell>
          <cell r="I74" t="str">
            <v/>
          </cell>
        </row>
        <row r="75">
          <cell r="H75" t="str">
            <v/>
          </cell>
          <cell r="I75" t="str">
            <v/>
          </cell>
        </row>
        <row r="76">
          <cell r="H76" t="str">
            <v/>
          </cell>
          <cell r="I76" t="str">
            <v/>
          </cell>
        </row>
        <row r="77">
          <cell r="H77" t="str">
            <v/>
          </cell>
          <cell r="I77" t="str">
            <v/>
          </cell>
        </row>
        <row r="78">
          <cell r="H78" t="str">
            <v/>
          </cell>
          <cell r="I78" t="str">
            <v/>
          </cell>
        </row>
        <row r="79">
          <cell r="H79" t="str">
            <v/>
          </cell>
          <cell r="I79" t="str">
            <v/>
          </cell>
        </row>
        <row r="80">
          <cell r="H80" t="str">
            <v/>
          </cell>
          <cell r="I80" t="str">
            <v/>
          </cell>
        </row>
        <row r="81">
          <cell r="H81" t="str">
            <v/>
          </cell>
          <cell r="I81" t="str">
            <v/>
          </cell>
        </row>
        <row r="82">
          <cell r="H82" t="str">
            <v/>
          </cell>
          <cell r="I82" t="str">
            <v/>
          </cell>
        </row>
        <row r="83">
          <cell r="H83" t="str">
            <v/>
          </cell>
          <cell r="I83" t="str">
            <v/>
          </cell>
        </row>
        <row r="84">
          <cell r="H84" t="str">
            <v/>
          </cell>
          <cell r="I84" t="str">
            <v/>
          </cell>
        </row>
        <row r="85">
          <cell r="H85" t="str">
            <v/>
          </cell>
          <cell r="I85" t="str">
            <v/>
          </cell>
        </row>
        <row r="86">
          <cell r="H86" t="str">
            <v/>
          </cell>
          <cell r="I86" t="str">
            <v/>
          </cell>
        </row>
        <row r="87">
          <cell r="H87" t="str">
            <v/>
          </cell>
          <cell r="I87" t="str">
            <v/>
          </cell>
        </row>
        <row r="88">
          <cell r="H88" t="str">
            <v/>
          </cell>
          <cell r="I88" t="str">
            <v/>
          </cell>
        </row>
        <row r="89">
          <cell r="H89" t="str">
            <v/>
          </cell>
          <cell r="I89" t="str">
            <v/>
          </cell>
        </row>
        <row r="90">
          <cell r="H90" t="str">
            <v/>
          </cell>
          <cell r="I90" t="str">
            <v/>
          </cell>
        </row>
        <row r="91">
          <cell r="H91" t="str">
            <v/>
          </cell>
          <cell r="I91" t="str">
            <v/>
          </cell>
        </row>
        <row r="92">
          <cell r="H92" t="str">
            <v/>
          </cell>
          <cell r="I92" t="str">
            <v/>
          </cell>
        </row>
        <row r="93">
          <cell r="H93" t="str">
            <v/>
          </cell>
          <cell r="I93" t="str">
            <v/>
          </cell>
        </row>
        <row r="94">
          <cell r="H94" t="str">
            <v/>
          </cell>
          <cell r="I94" t="str">
            <v/>
          </cell>
        </row>
        <row r="95">
          <cell r="H95" t="str">
            <v/>
          </cell>
          <cell r="I95" t="str">
            <v/>
          </cell>
        </row>
        <row r="96">
          <cell r="H96" t="str">
            <v/>
          </cell>
          <cell r="I96" t="str">
            <v/>
          </cell>
        </row>
        <row r="97">
          <cell r="H97" t="str">
            <v/>
          </cell>
          <cell r="I97" t="str">
            <v/>
          </cell>
        </row>
        <row r="98">
          <cell r="H98" t="str">
            <v/>
          </cell>
          <cell r="I98" t="str">
            <v/>
          </cell>
        </row>
        <row r="99">
          <cell r="H99" t="str">
            <v/>
          </cell>
          <cell r="I99" t="str">
            <v/>
          </cell>
        </row>
        <row r="100">
          <cell r="H100" t="str">
            <v/>
          </cell>
          <cell r="I100" t="str">
            <v/>
          </cell>
        </row>
        <row r="101">
          <cell r="H101" t="str">
            <v/>
          </cell>
          <cell r="I101" t="str">
            <v/>
          </cell>
        </row>
        <row r="102">
          <cell r="H102" t="str">
            <v/>
          </cell>
          <cell r="I102" t="str">
            <v/>
          </cell>
        </row>
        <row r="103">
          <cell r="H103" t="str">
            <v/>
          </cell>
          <cell r="I103" t="str">
            <v/>
          </cell>
        </row>
        <row r="104">
          <cell r="H104" t="str">
            <v/>
          </cell>
          <cell r="I104" t="str">
            <v/>
          </cell>
        </row>
        <row r="105">
          <cell r="H105" t="str">
            <v/>
          </cell>
          <cell r="I105" t="str">
            <v/>
          </cell>
        </row>
        <row r="106">
          <cell r="H106" t="str">
            <v/>
          </cell>
          <cell r="I106" t="str">
            <v/>
          </cell>
        </row>
        <row r="107">
          <cell r="H107" t="str">
            <v/>
          </cell>
          <cell r="I107" t="str">
            <v/>
          </cell>
        </row>
        <row r="108">
          <cell r="H108" t="str">
            <v/>
          </cell>
          <cell r="I108" t="str">
            <v/>
          </cell>
        </row>
        <row r="109">
          <cell r="H109" t="str">
            <v/>
          </cell>
          <cell r="I109" t="str">
            <v/>
          </cell>
        </row>
        <row r="110">
          <cell r="H110" t="str">
            <v/>
          </cell>
          <cell r="I110" t="str">
            <v/>
          </cell>
        </row>
        <row r="111">
          <cell r="H111" t="str">
            <v/>
          </cell>
          <cell r="I111" t="str">
            <v/>
          </cell>
        </row>
        <row r="112">
          <cell r="H112" t="str">
            <v/>
          </cell>
          <cell r="I112" t="str">
            <v/>
          </cell>
        </row>
      </sheetData>
      <sheetData sheetId="3">
        <row r="16">
          <cell r="W16">
            <v>1737024879231.45</v>
          </cell>
          <cell r="X16">
            <v>2013978592533.3999</v>
          </cell>
        </row>
        <row r="24">
          <cell r="W24">
            <v>419460780224.14001</v>
          </cell>
          <cell r="X24">
            <v>592830404568.21899</v>
          </cell>
        </row>
      </sheetData>
      <sheetData sheetId="4">
        <row r="13">
          <cell r="B13">
            <v>1</v>
          </cell>
          <cell r="C13" t="str">
            <v>Event</v>
          </cell>
          <cell r="D13">
            <v>500000000</v>
          </cell>
          <cell r="E13">
            <v>1000000000</v>
          </cell>
          <cell r="F13">
            <v>1</v>
          </cell>
          <cell r="H13">
            <v>1</v>
          </cell>
          <cell r="L13">
            <v>2013978592533.3999</v>
          </cell>
          <cell r="N13" t="str">
            <v>Layer 1_Event_500M xs 1000M</v>
          </cell>
        </row>
        <row r="14">
          <cell r="B14">
            <v>2</v>
          </cell>
          <cell r="C14" t="str">
            <v>Event</v>
          </cell>
          <cell r="D14">
            <v>500000000</v>
          </cell>
          <cell r="E14">
            <v>1500000000</v>
          </cell>
          <cell r="F14">
            <v>1</v>
          </cell>
          <cell r="H14">
            <v>1</v>
          </cell>
          <cell r="L14">
            <v>2013978592533.3999</v>
          </cell>
          <cell r="N14" t="str">
            <v>Layer 2_Event_500M xs 1500M</v>
          </cell>
        </row>
        <row r="15">
          <cell r="B15">
            <v>3</v>
          </cell>
          <cell r="C15" t="str">
            <v>Event</v>
          </cell>
          <cell r="D15">
            <v>500000000</v>
          </cell>
          <cell r="E15">
            <v>2000000000</v>
          </cell>
          <cell r="F15">
            <v>1</v>
          </cell>
          <cell r="H15">
            <v>1</v>
          </cell>
          <cell r="L15">
            <v>2013978592533.3999</v>
          </cell>
          <cell r="N15" t="str">
            <v>Layer 3_Event_500M xs 2000M</v>
          </cell>
        </row>
        <row r="16">
          <cell r="B16">
            <v>4</v>
          </cell>
          <cell r="C16" t="str">
            <v>Event</v>
          </cell>
          <cell r="D16">
            <v>500000000</v>
          </cell>
          <cell r="E16">
            <v>2500000000</v>
          </cell>
          <cell r="F16">
            <v>1</v>
          </cell>
          <cell r="H16">
            <v>1</v>
          </cell>
          <cell r="L16">
            <v>2013978592533.3999</v>
          </cell>
          <cell r="N16" t="str">
            <v>Layer 4_Event_500M xs 2500M</v>
          </cell>
        </row>
        <row r="17">
          <cell r="B17">
            <v>5</v>
          </cell>
          <cell r="C17" t="str">
            <v>EQ</v>
          </cell>
          <cell r="D17">
            <v>600000000</v>
          </cell>
          <cell r="E17">
            <v>3000000000</v>
          </cell>
          <cell r="F17">
            <v>1</v>
          </cell>
          <cell r="H17">
            <v>1</v>
          </cell>
          <cell r="L17">
            <v>592830404568.21899</v>
          </cell>
          <cell r="N17" t="str">
            <v>Layer 5_EQ_600M xs 3000M</v>
          </cell>
        </row>
        <row r="18">
          <cell r="B18">
            <v>6</v>
          </cell>
          <cell r="C18" t="str">
            <v>EQ</v>
          </cell>
          <cell r="D18">
            <v>600000000</v>
          </cell>
          <cell r="E18">
            <v>3600000000</v>
          </cell>
          <cell r="F18">
            <v>1</v>
          </cell>
          <cell r="H18">
            <v>1</v>
          </cell>
          <cell r="L18">
            <v>592830404568.21899</v>
          </cell>
          <cell r="N18" t="str">
            <v>Layer 6_EQ_600M xs 3600M</v>
          </cell>
        </row>
        <row r="19">
          <cell r="B19">
            <v>7</v>
          </cell>
          <cell r="C19" t="str">
            <v>EQ</v>
          </cell>
          <cell r="D19">
            <v>800000000</v>
          </cell>
          <cell r="E19">
            <v>4200000000</v>
          </cell>
          <cell r="F19">
            <v>1</v>
          </cell>
          <cell r="H19">
            <v>1</v>
          </cell>
          <cell r="L19">
            <v>592830404568.21899</v>
          </cell>
          <cell r="N19" t="str">
            <v>Layer 7_EQ_800M xs 4200M</v>
          </cell>
        </row>
        <row r="20">
          <cell r="B20">
            <v>8</v>
          </cell>
          <cell r="C20" t="str">
            <v>EQ</v>
          </cell>
          <cell r="D20">
            <v>500000000</v>
          </cell>
          <cell r="E20">
            <v>5000000000</v>
          </cell>
          <cell r="F20">
            <v>1</v>
          </cell>
          <cell r="H20">
            <v>1</v>
          </cell>
          <cell r="L20">
            <v>592830404568.21899</v>
          </cell>
          <cell r="N20" t="str">
            <v>Layer 8_EQ_500M xs 5000M</v>
          </cell>
        </row>
        <row r="21">
          <cell r="B21" t="str">
            <v>P</v>
          </cell>
          <cell r="C21" t="str">
            <v>Risk</v>
          </cell>
          <cell r="D21">
            <v>20000000</v>
          </cell>
          <cell r="E21">
            <v>30000000</v>
          </cell>
          <cell r="F21">
            <v>2</v>
          </cell>
          <cell r="H21">
            <v>1</v>
          </cell>
          <cell r="I21">
            <v>0.3</v>
          </cell>
          <cell r="L21">
            <v>2013978592533.3999</v>
          </cell>
          <cell r="N21" t="str">
            <v>Layer P_Risk_20M xs 30M</v>
          </cell>
        </row>
        <row r="22">
          <cell r="B22" t="str">
            <v>Q</v>
          </cell>
          <cell r="C22" t="str">
            <v>Risk</v>
          </cell>
          <cell r="D22">
            <v>50000000</v>
          </cell>
          <cell r="E22">
            <v>50000000</v>
          </cell>
          <cell r="F22">
            <v>1</v>
          </cell>
          <cell r="H22">
            <v>1</v>
          </cell>
          <cell r="I22">
            <v>0.2</v>
          </cell>
          <cell r="L22">
            <v>2013978592533.3999</v>
          </cell>
          <cell r="N22" t="str">
            <v>Layer Q_Risk_50M xs 50M</v>
          </cell>
        </row>
        <row r="23">
          <cell r="B23" t="str">
            <v>R</v>
          </cell>
          <cell r="C23" t="str">
            <v>Risk</v>
          </cell>
          <cell r="D23">
            <v>50000000</v>
          </cell>
          <cell r="E23">
            <v>100000000</v>
          </cell>
          <cell r="F23">
            <v>1</v>
          </cell>
          <cell r="H23">
            <v>1</v>
          </cell>
          <cell r="I23">
            <v>0.15</v>
          </cell>
          <cell r="L23">
            <v>2013978592533.3999</v>
          </cell>
          <cell r="N23" t="str">
            <v>Layer R_Risk_50M xs 100M</v>
          </cell>
        </row>
        <row r="24">
          <cell r="B24" t="str">
            <v>S</v>
          </cell>
          <cell r="C24" t="str">
            <v>Risk</v>
          </cell>
          <cell r="D24">
            <v>50000000</v>
          </cell>
          <cell r="E24">
            <v>150000000</v>
          </cell>
          <cell r="F24">
            <v>1</v>
          </cell>
          <cell r="H24">
            <v>1</v>
          </cell>
          <cell r="I24">
            <v>0.09</v>
          </cell>
          <cell r="L24">
            <v>2013978592533.3999</v>
          </cell>
          <cell r="N24" t="str">
            <v>Layer S_Risk_50M xs 150M</v>
          </cell>
        </row>
        <row r="25">
          <cell r="B25" t="str">
            <v>T</v>
          </cell>
          <cell r="C25" t="str">
            <v>Risk</v>
          </cell>
          <cell r="D25">
            <v>50000000</v>
          </cell>
          <cell r="E25">
            <v>200000000</v>
          </cell>
          <cell r="F25">
            <v>1</v>
          </cell>
          <cell r="H25">
            <v>1</v>
          </cell>
          <cell r="I25">
            <v>0.08</v>
          </cell>
          <cell r="L25">
            <v>2013978592533.3999</v>
          </cell>
          <cell r="N25" t="str">
            <v>Layer T_Risk_50M xs 200M</v>
          </cell>
        </row>
        <row r="26">
          <cell r="L26" t="str">
            <v/>
          </cell>
          <cell r="N26" t="str">
            <v/>
          </cell>
        </row>
        <row r="27">
          <cell r="L27" t="str">
            <v/>
          </cell>
          <cell r="N27" t="str">
            <v/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>
        <row r="2">
          <cell r="A2" t="str">
            <v>Prem Ops -  Table 1</v>
          </cell>
        </row>
        <row r="3">
          <cell r="A3" t="str">
            <v>Prem Ops -  Table 2</v>
          </cell>
        </row>
        <row r="4">
          <cell r="A4" t="str">
            <v>Prem Ops -  Table 3</v>
          </cell>
        </row>
        <row r="5">
          <cell r="A5" t="str">
            <v>Products -  Table A</v>
          </cell>
        </row>
        <row r="6">
          <cell r="A6" t="str">
            <v>Products -  Table B</v>
          </cell>
        </row>
        <row r="7">
          <cell r="A7" t="str">
            <v>Products -  Table C</v>
          </cell>
        </row>
        <row r="8">
          <cell r="A8" t="str">
            <v>Comm Auto -  Light&amp;Medium</v>
          </cell>
        </row>
        <row r="9">
          <cell r="A9" t="str">
            <v>Comm Auto -  Heavy</v>
          </cell>
        </row>
        <row r="10">
          <cell r="A10" t="str">
            <v>Comm Auto -  Extra Heavy</v>
          </cell>
        </row>
        <row r="11">
          <cell r="A11" t="str">
            <v>Comm Auto -  All Other</v>
          </cell>
        </row>
        <row r="12">
          <cell r="A12" t="str">
            <v>Comm Auto -  Zone Rated</v>
          </cell>
        </row>
        <row r="13">
          <cell r="A13" t="str">
            <v>Medical -  Hospital</v>
          </cell>
        </row>
        <row r="14">
          <cell r="A14" t="str">
            <v>Medical -  Physicians</v>
          </cell>
        </row>
        <row r="15">
          <cell r="A15" t="str">
            <v>Medical -  Surgeons</v>
          </cell>
        </row>
        <row r="16">
          <cell r="A16" t="str">
            <v>Medical -  Allied Healthcare</v>
          </cell>
        </row>
        <row r="17">
          <cell r="A17" t="str">
            <v>Medical -  Nursing Home</v>
          </cell>
        </row>
        <row r="18">
          <cell r="A18" t="str">
            <v>Medical -  Dentist</v>
          </cell>
        </row>
        <row r="19">
          <cell r="A19" t="str">
            <v>Medical -  Veterinarians</v>
          </cell>
        </row>
        <row r="20">
          <cell r="A20" t="str">
            <v>Professional -  Lawyers</v>
          </cell>
        </row>
      </sheetData>
    </sheetDataSet>
  </externalBook>
</externalLink>
</file>

<file path=xl/theme/theme1.xml><?xml version="1.0" encoding="utf-8"?>
<a:theme xmlns:a="http://schemas.openxmlformats.org/drawingml/2006/main" name="GC US Sales Ops_Excel Formatting">
  <a:themeElements>
    <a:clrScheme name="GC US Sales Ops_Primary">
      <a:dk1>
        <a:sysClr val="windowText" lastClr="000000"/>
      </a:dk1>
      <a:lt1>
        <a:sysClr val="window" lastClr="FFFFFF"/>
      </a:lt1>
      <a:dk2>
        <a:srgbClr val="BFBFBF"/>
      </a:dk2>
      <a:lt2>
        <a:srgbClr val="37424A"/>
      </a:lt2>
      <a:accent1>
        <a:srgbClr val="002C77"/>
      </a:accent1>
      <a:accent2>
        <a:srgbClr val="006D9E"/>
      </a:accent2>
      <a:accent3>
        <a:srgbClr val="00A8C8"/>
      </a:accent3>
      <a:accent4>
        <a:srgbClr val="A6E2EF"/>
      </a:accent4>
      <a:accent5>
        <a:srgbClr val="808080"/>
      </a:accent5>
      <a:accent6>
        <a:srgbClr val="000000"/>
      </a:accent6>
      <a:hlink>
        <a:srgbClr val="002C77"/>
      </a:hlink>
      <a:folHlink>
        <a:srgbClr val="00A8C8"/>
      </a:folHlink>
    </a:clrScheme>
    <a:fontScheme name="GC US Sales Ops Fonts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Couture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8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1397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twoPt" dir="tl"/>
          </a:scene3d>
          <a:sp3d prstMaterial="flat">
            <a:bevelT w="19050" h="3175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7E2AA-E861-454C-9902-71B6AEE83CF4}">
  <sheetPr codeName="Sheet37">
    <tabColor theme="4"/>
  </sheetPr>
  <dimension ref="A1:H114"/>
  <sheetViews>
    <sheetView showGridLines="0" tabSelected="1" zoomScale="55" zoomScaleNormal="55" workbookViewId="0">
      <selection activeCell="J68" sqref="J68"/>
    </sheetView>
  </sheetViews>
  <sheetFormatPr defaultColWidth="9.19921875" defaultRowHeight="12.75"/>
  <cols>
    <col min="1" max="1" width="9.19921875" style="1"/>
    <col min="2" max="2" width="17" style="1" customWidth="1"/>
    <col min="3" max="3" width="18.73046875" style="1" customWidth="1"/>
    <col min="4" max="4" width="24.6640625" style="1" customWidth="1"/>
    <col min="5" max="6" width="29.33203125" style="1" customWidth="1"/>
    <col min="7" max="7" width="29.33203125" style="2" customWidth="1"/>
    <col min="8" max="8" width="28.9296875" style="3" customWidth="1"/>
    <col min="9" max="16384" width="9.19921875" style="1"/>
  </cols>
  <sheetData>
    <row r="1" spans="1:8">
      <c r="A1" s="1" t="str">
        <f>$C$4</f>
        <v>&lt;&lt;RMStoYELT&gt;&gt;</v>
      </c>
    </row>
    <row r="3" spans="1:8" ht="13.15">
      <c r="B3" s="4" t="s">
        <v>0</v>
      </c>
      <c r="C3" s="4"/>
    </row>
    <row r="4" spans="1:8" ht="13.15">
      <c r="B4" s="5" t="s">
        <v>1</v>
      </c>
      <c r="C4" s="6" t="s">
        <v>2</v>
      </c>
    </row>
    <row r="5" spans="1:8" ht="15">
      <c r="B5" s="7"/>
      <c r="C5" s="8"/>
    </row>
    <row r="6" spans="1:8" ht="15">
      <c r="B6" s="9" t="s">
        <v>12</v>
      </c>
      <c r="C6" s="10">
        <v>10000</v>
      </c>
    </row>
    <row r="7" spans="1:8" ht="15">
      <c r="B7" s="11"/>
      <c r="C7" s="12"/>
    </row>
    <row r="8" spans="1:8" ht="15">
      <c r="B8" s="22"/>
      <c r="C8" s="23"/>
    </row>
    <row r="13" spans="1:8" ht="14.25">
      <c r="B13" s="15" t="s">
        <v>10</v>
      </c>
      <c r="C13" s="15" t="s">
        <v>13</v>
      </c>
      <c r="D13" s="15" t="s">
        <v>14</v>
      </c>
      <c r="G13" s="3"/>
      <c r="H13" s="1"/>
    </row>
    <row r="14" spans="1:8">
      <c r="B14" s="21" t="s">
        <v>11</v>
      </c>
      <c r="C14" s="21"/>
      <c r="D14" s="21"/>
      <c r="G14" s="3"/>
      <c r="H14" s="1"/>
    </row>
    <row r="15" spans="1:8">
      <c r="D15" s="3"/>
      <c r="G15" s="3"/>
      <c r="H15" s="1"/>
    </row>
    <row r="16" spans="1:8">
      <c r="D16" s="3"/>
      <c r="G16" s="3"/>
      <c r="H16" s="1"/>
    </row>
    <row r="17" spans="2:8">
      <c r="D17" s="3"/>
      <c r="G17" s="3"/>
      <c r="H17" s="1"/>
    </row>
    <row r="18" spans="2:8" s="13" customFormat="1">
      <c r="D18" s="1"/>
      <c r="G18" s="3"/>
      <c r="H18" s="1"/>
    </row>
    <row r="19" spans="2:8" s="13" customFormat="1">
      <c r="D19" s="1"/>
      <c r="H19" s="14"/>
    </row>
    <row r="20" spans="2:8" s="13" customFormat="1">
      <c r="D20" s="1"/>
      <c r="H20" s="14"/>
    </row>
    <row r="21" spans="2:8" s="13" customFormat="1">
      <c r="D21" s="1"/>
      <c r="H21" s="14"/>
    </row>
    <row r="22" spans="2:8" s="13" customFormat="1">
      <c r="D22" s="1"/>
      <c r="H22" s="14"/>
    </row>
    <row r="23" spans="2:8" s="13" customFormat="1">
      <c r="D23" s="1"/>
      <c r="H23" s="14"/>
    </row>
    <row r="24" spans="2:8" s="13" customFormat="1">
      <c r="C24" s="1"/>
      <c r="F24" s="14"/>
    </row>
    <row r="25" spans="2:8" s="13" customFormat="1" ht="14.25" customHeight="1">
      <c r="B25" s="15" t="s">
        <v>3</v>
      </c>
      <c r="C25" s="15"/>
      <c r="D25" s="15"/>
      <c r="E25" s="15"/>
      <c r="F25" s="16"/>
      <c r="G25" s="15"/>
    </row>
    <row r="26" spans="2:8" s="13" customFormat="1" ht="14.25">
      <c r="B26" s="17" t="s">
        <v>4</v>
      </c>
      <c r="C26" s="17" t="s">
        <v>5</v>
      </c>
      <c r="D26" s="17" t="s">
        <v>6</v>
      </c>
      <c r="E26" s="17" t="s">
        <v>7</v>
      </c>
      <c r="F26" s="18" t="s">
        <v>8</v>
      </c>
      <c r="G26" s="17" t="s">
        <v>9</v>
      </c>
    </row>
    <row r="27" spans="2:8" s="13" customFormat="1" ht="14.25">
      <c r="B27" s="19"/>
      <c r="C27" s="19"/>
      <c r="D27" s="19"/>
      <c r="E27" s="19" t="str">
        <f>IF(B27="","","Y")</f>
        <v/>
      </c>
      <c r="F27" s="20"/>
      <c r="G27" s="19"/>
    </row>
    <row r="28" spans="2:8" s="13" customFormat="1" ht="14.25">
      <c r="B28" s="19"/>
      <c r="C28" s="19"/>
      <c r="D28" s="19"/>
      <c r="E28" s="19" t="str">
        <f t="shared" ref="E28:E91" si="0">IF(B28="","","Y")</f>
        <v/>
      </c>
      <c r="F28" s="20"/>
      <c r="G28" s="19"/>
    </row>
    <row r="29" spans="2:8" s="13" customFormat="1" ht="14.25">
      <c r="B29" s="19"/>
      <c r="C29" s="19"/>
      <c r="D29" s="19"/>
      <c r="E29" s="19" t="str">
        <f t="shared" si="0"/>
        <v/>
      </c>
      <c r="F29" s="20"/>
      <c r="G29" s="19"/>
    </row>
    <row r="30" spans="2:8" s="13" customFormat="1" ht="14.25">
      <c r="B30" s="19"/>
      <c r="C30" s="19"/>
      <c r="D30" s="19"/>
      <c r="E30" s="19" t="str">
        <f t="shared" si="0"/>
        <v/>
      </c>
      <c r="F30" s="20"/>
      <c r="G30" s="19"/>
    </row>
    <row r="31" spans="2:8" s="13" customFormat="1" ht="14.25">
      <c r="B31" s="19"/>
      <c r="C31" s="19"/>
      <c r="D31" s="19"/>
      <c r="E31" s="19" t="str">
        <f t="shared" si="0"/>
        <v/>
      </c>
      <c r="F31" s="20"/>
      <c r="G31" s="19"/>
    </row>
    <row r="32" spans="2:8" s="13" customFormat="1" ht="14.25">
      <c r="B32" s="19"/>
      <c r="C32" s="19"/>
      <c r="D32" s="19"/>
      <c r="E32" s="19" t="str">
        <f t="shared" si="0"/>
        <v/>
      </c>
      <c r="F32" s="20"/>
      <c r="G32" s="19"/>
    </row>
    <row r="33" spans="2:8" s="13" customFormat="1" ht="14.25">
      <c r="B33" s="19"/>
      <c r="C33" s="19"/>
      <c r="D33" s="19"/>
      <c r="E33" s="19" t="str">
        <f t="shared" si="0"/>
        <v/>
      </c>
      <c r="F33" s="20"/>
      <c r="G33" s="19"/>
    </row>
    <row r="34" spans="2:8" s="13" customFormat="1" ht="14.25">
      <c r="B34" s="19"/>
      <c r="C34" s="19"/>
      <c r="D34" s="19"/>
      <c r="E34" s="19" t="str">
        <f t="shared" si="0"/>
        <v/>
      </c>
      <c r="F34" s="20"/>
      <c r="G34" s="19"/>
    </row>
    <row r="35" spans="2:8" s="13" customFormat="1" ht="14.25">
      <c r="B35" s="19"/>
      <c r="C35" s="19"/>
      <c r="D35" s="19"/>
      <c r="E35" s="19" t="str">
        <f t="shared" si="0"/>
        <v/>
      </c>
      <c r="F35" s="20"/>
      <c r="G35" s="19"/>
    </row>
    <row r="36" spans="2:8" s="13" customFormat="1" ht="14.25">
      <c r="B36" s="19"/>
      <c r="C36" s="19"/>
      <c r="D36" s="19"/>
      <c r="E36" s="19" t="str">
        <f t="shared" si="0"/>
        <v/>
      </c>
      <c r="F36" s="20"/>
      <c r="G36" s="19"/>
    </row>
    <row r="37" spans="2:8" s="13" customFormat="1" ht="14.25">
      <c r="B37" s="19"/>
      <c r="C37" s="19"/>
      <c r="D37" s="19"/>
      <c r="E37" s="19" t="str">
        <f t="shared" si="0"/>
        <v/>
      </c>
      <c r="F37" s="20"/>
      <c r="G37" s="19"/>
    </row>
    <row r="38" spans="2:8" s="13" customFormat="1" ht="14.25">
      <c r="B38" s="19"/>
      <c r="C38" s="19"/>
      <c r="D38" s="19"/>
      <c r="E38" s="19" t="str">
        <f t="shared" si="0"/>
        <v/>
      </c>
      <c r="F38" s="20"/>
      <c r="G38" s="19"/>
    </row>
    <row r="39" spans="2:8" s="13" customFormat="1" ht="14.25">
      <c r="B39" s="19"/>
      <c r="C39" s="19"/>
      <c r="D39" s="19"/>
      <c r="E39" s="19" t="str">
        <f t="shared" si="0"/>
        <v/>
      </c>
      <c r="F39" s="20"/>
      <c r="G39" s="19"/>
      <c r="H39" s="1"/>
    </row>
    <row r="40" spans="2:8" s="13" customFormat="1" ht="14.25">
      <c r="B40" s="19"/>
      <c r="C40" s="19"/>
      <c r="D40" s="19"/>
      <c r="E40" s="19" t="str">
        <f t="shared" si="0"/>
        <v/>
      </c>
      <c r="F40" s="20"/>
      <c r="G40" s="19"/>
      <c r="H40" s="1"/>
    </row>
    <row r="41" spans="2:8" s="13" customFormat="1" ht="14.25">
      <c r="B41" s="19"/>
      <c r="C41" s="19"/>
      <c r="D41" s="19"/>
      <c r="E41" s="19" t="str">
        <f t="shared" si="0"/>
        <v/>
      </c>
      <c r="F41" s="20"/>
      <c r="G41" s="19"/>
      <c r="H41" s="1"/>
    </row>
    <row r="42" spans="2:8" s="13" customFormat="1" ht="14.25">
      <c r="B42" s="19"/>
      <c r="C42" s="19"/>
      <c r="D42" s="19"/>
      <c r="E42" s="19" t="str">
        <f t="shared" si="0"/>
        <v/>
      </c>
      <c r="F42" s="20"/>
      <c r="G42" s="19"/>
      <c r="H42" s="1"/>
    </row>
    <row r="43" spans="2:8" s="13" customFormat="1" ht="14.25">
      <c r="B43" s="19"/>
      <c r="C43" s="19"/>
      <c r="D43" s="19"/>
      <c r="E43" s="19" t="str">
        <f t="shared" si="0"/>
        <v/>
      </c>
      <c r="F43" s="20"/>
      <c r="G43" s="19"/>
      <c r="H43" s="1"/>
    </row>
    <row r="44" spans="2:8" s="13" customFormat="1" ht="14.25">
      <c r="B44" s="19"/>
      <c r="C44" s="19"/>
      <c r="D44" s="19"/>
      <c r="E44" s="19" t="str">
        <f t="shared" si="0"/>
        <v/>
      </c>
      <c r="F44" s="20"/>
      <c r="G44" s="19"/>
      <c r="H44" s="1"/>
    </row>
    <row r="45" spans="2:8" s="13" customFormat="1" ht="14.25">
      <c r="B45" s="19"/>
      <c r="C45" s="19"/>
      <c r="D45" s="19"/>
      <c r="E45" s="19" t="str">
        <f t="shared" si="0"/>
        <v/>
      </c>
      <c r="F45" s="20"/>
      <c r="G45" s="19"/>
      <c r="H45" s="1"/>
    </row>
    <row r="46" spans="2:8" s="13" customFormat="1" ht="14.25">
      <c r="B46" s="19"/>
      <c r="C46" s="19"/>
      <c r="D46" s="19"/>
      <c r="E46" s="19" t="str">
        <f t="shared" si="0"/>
        <v/>
      </c>
      <c r="F46" s="20"/>
      <c r="G46" s="19"/>
      <c r="H46" s="1"/>
    </row>
    <row r="47" spans="2:8" s="13" customFormat="1" ht="14.25">
      <c r="B47" s="19"/>
      <c r="C47" s="19"/>
      <c r="D47" s="19"/>
      <c r="E47" s="19" t="str">
        <f t="shared" si="0"/>
        <v/>
      </c>
      <c r="F47" s="20"/>
      <c r="G47" s="19"/>
      <c r="H47" s="1"/>
    </row>
    <row r="48" spans="2:8" s="13" customFormat="1" ht="14.25">
      <c r="B48" s="19"/>
      <c r="C48" s="19"/>
      <c r="D48" s="19"/>
      <c r="E48" s="19" t="str">
        <f t="shared" si="0"/>
        <v/>
      </c>
      <c r="F48" s="20"/>
      <c r="G48" s="19"/>
    </row>
    <row r="49" spans="2:7" s="13" customFormat="1" ht="14.25">
      <c r="B49" s="19"/>
      <c r="C49" s="19"/>
      <c r="D49" s="19"/>
      <c r="E49" s="19" t="str">
        <f t="shared" si="0"/>
        <v/>
      </c>
      <c r="F49" s="20"/>
      <c r="G49" s="19"/>
    </row>
    <row r="50" spans="2:7" s="13" customFormat="1" ht="14.25">
      <c r="B50" s="19"/>
      <c r="C50" s="19"/>
      <c r="D50" s="19"/>
      <c r="E50" s="19" t="str">
        <f t="shared" si="0"/>
        <v/>
      </c>
      <c r="F50" s="20"/>
      <c r="G50" s="19"/>
    </row>
    <row r="51" spans="2:7" s="13" customFormat="1" ht="14.25">
      <c r="B51" s="19"/>
      <c r="C51" s="19"/>
      <c r="D51" s="19"/>
      <c r="E51" s="19" t="str">
        <f t="shared" si="0"/>
        <v/>
      </c>
      <c r="F51" s="20"/>
      <c r="G51" s="19"/>
    </row>
    <row r="52" spans="2:7" s="13" customFormat="1" ht="14.25">
      <c r="B52" s="19"/>
      <c r="C52" s="19"/>
      <c r="D52" s="19"/>
      <c r="E52" s="19" t="str">
        <f t="shared" si="0"/>
        <v/>
      </c>
      <c r="F52" s="20"/>
      <c r="G52" s="19"/>
    </row>
    <row r="53" spans="2:7" s="13" customFormat="1" ht="14.25">
      <c r="B53" s="19"/>
      <c r="C53" s="19"/>
      <c r="D53" s="19"/>
      <c r="E53" s="19" t="str">
        <f t="shared" si="0"/>
        <v/>
      </c>
      <c r="F53" s="20"/>
      <c r="G53" s="19"/>
    </row>
    <row r="54" spans="2:7" s="13" customFormat="1" ht="14.25">
      <c r="B54" s="19"/>
      <c r="C54" s="19"/>
      <c r="D54" s="19"/>
      <c r="E54" s="19" t="str">
        <f t="shared" si="0"/>
        <v/>
      </c>
      <c r="F54" s="20"/>
      <c r="G54" s="19"/>
    </row>
    <row r="55" spans="2:7" s="13" customFormat="1" ht="14.25">
      <c r="B55" s="19"/>
      <c r="C55" s="19"/>
      <c r="D55" s="19"/>
      <c r="E55" s="19" t="str">
        <f t="shared" si="0"/>
        <v/>
      </c>
      <c r="F55" s="20"/>
      <c r="G55" s="19"/>
    </row>
    <row r="56" spans="2:7" s="13" customFormat="1" ht="14.25">
      <c r="B56" s="19"/>
      <c r="C56" s="19"/>
      <c r="D56" s="19"/>
      <c r="E56" s="19" t="str">
        <f t="shared" si="0"/>
        <v/>
      </c>
      <c r="F56" s="20"/>
      <c r="G56" s="19"/>
    </row>
    <row r="57" spans="2:7" s="13" customFormat="1" ht="14.25">
      <c r="B57" s="19"/>
      <c r="C57" s="19"/>
      <c r="D57" s="19"/>
      <c r="E57" s="19" t="str">
        <f t="shared" si="0"/>
        <v/>
      </c>
      <c r="F57" s="20"/>
      <c r="G57" s="19"/>
    </row>
    <row r="58" spans="2:7" s="13" customFormat="1" ht="14.25">
      <c r="B58" s="19"/>
      <c r="C58" s="19"/>
      <c r="D58" s="19"/>
      <c r="E58" s="19" t="str">
        <f t="shared" si="0"/>
        <v/>
      </c>
      <c r="F58" s="20"/>
      <c r="G58" s="19"/>
    </row>
    <row r="59" spans="2:7" s="13" customFormat="1" ht="14.25">
      <c r="B59" s="19"/>
      <c r="C59" s="19"/>
      <c r="D59" s="19"/>
      <c r="E59" s="19" t="str">
        <f t="shared" si="0"/>
        <v/>
      </c>
      <c r="F59" s="20"/>
      <c r="G59" s="19"/>
    </row>
    <row r="60" spans="2:7" s="13" customFormat="1" ht="14.25">
      <c r="B60" s="19"/>
      <c r="C60" s="19"/>
      <c r="D60" s="19"/>
      <c r="E60" s="19" t="str">
        <f t="shared" si="0"/>
        <v/>
      </c>
      <c r="F60" s="20"/>
      <c r="G60" s="19"/>
    </row>
    <row r="61" spans="2:7" s="13" customFormat="1" ht="14.25">
      <c r="B61" s="19"/>
      <c r="C61" s="19"/>
      <c r="D61" s="19"/>
      <c r="E61" s="19" t="str">
        <f t="shared" si="0"/>
        <v/>
      </c>
      <c r="F61" s="20"/>
      <c r="G61" s="19"/>
    </row>
    <row r="62" spans="2:7" s="13" customFormat="1" ht="14.25">
      <c r="B62" s="19"/>
      <c r="C62" s="19"/>
      <c r="D62" s="19"/>
      <c r="E62" s="19" t="str">
        <f t="shared" si="0"/>
        <v/>
      </c>
      <c r="F62" s="20"/>
      <c r="G62" s="19"/>
    </row>
    <row r="63" spans="2:7" s="13" customFormat="1" ht="14.25">
      <c r="B63" s="19"/>
      <c r="C63" s="19"/>
      <c r="D63" s="19"/>
      <c r="E63" s="19" t="str">
        <f t="shared" si="0"/>
        <v/>
      </c>
      <c r="F63" s="20"/>
      <c r="G63" s="19"/>
    </row>
    <row r="64" spans="2:7" s="13" customFormat="1" ht="14.25">
      <c r="B64" s="19"/>
      <c r="C64" s="19"/>
      <c r="D64" s="19"/>
      <c r="E64" s="19" t="str">
        <f t="shared" si="0"/>
        <v/>
      </c>
      <c r="F64" s="20"/>
      <c r="G64" s="19"/>
    </row>
    <row r="65" spans="2:8" s="13" customFormat="1" ht="14.25">
      <c r="B65" s="19"/>
      <c r="C65" s="19"/>
      <c r="D65" s="19"/>
      <c r="E65" s="19" t="str">
        <f t="shared" si="0"/>
        <v/>
      </c>
      <c r="F65" s="20"/>
      <c r="G65" s="19"/>
    </row>
    <row r="66" spans="2:8" s="13" customFormat="1" ht="14.25">
      <c r="B66" s="19"/>
      <c r="C66" s="19"/>
      <c r="D66" s="19"/>
      <c r="E66" s="19" t="str">
        <f t="shared" si="0"/>
        <v/>
      </c>
      <c r="F66" s="20"/>
      <c r="G66" s="19"/>
    </row>
    <row r="67" spans="2:8" s="13" customFormat="1" ht="14.25">
      <c r="B67" s="19"/>
      <c r="C67" s="19"/>
      <c r="D67" s="19"/>
      <c r="E67" s="19" t="str">
        <f t="shared" si="0"/>
        <v/>
      </c>
      <c r="F67" s="20"/>
      <c r="G67" s="19"/>
    </row>
    <row r="68" spans="2:8" s="13" customFormat="1" ht="14.25">
      <c r="B68" s="19"/>
      <c r="C68" s="19"/>
      <c r="D68" s="19"/>
      <c r="E68" s="19" t="str">
        <f t="shared" si="0"/>
        <v/>
      </c>
      <c r="F68" s="20"/>
      <c r="G68" s="19"/>
    </row>
    <row r="69" spans="2:8" s="13" customFormat="1" ht="14.25">
      <c r="B69" s="19"/>
      <c r="C69" s="19"/>
      <c r="D69" s="19"/>
      <c r="E69" s="19" t="str">
        <f t="shared" si="0"/>
        <v/>
      </c>
      <c r="F69" s="20"/>
      <c r="G69" s="19"/>
    </row>
    <row r="70" spans="2:8" s="13" customFormat="1" ht="14.25">
      <c r="B70" s="19"/>
      <c r="C70" s="19"/>
      <c r="D70" s="19"/>
      <c r="E70" s="19" t="str">
        <f t="shared" si="0"/>
        <v/>
      </c>
      <c r="F70" s="20"/>
      <c r="G70" s="19"/>
    </row>
    <row r="71" spans="2:8" s="13" customFormat="1" ht="14.25">
      <c r="B71" s="19"/>
      <c r="C71" s="19"/>
      <c r="D71" s="19"/>
      <c r="E71" s="19" t="str">
        <f t="shared" si="0"/>
        <v/>
      </c>
      <c r="F71" s="20"/>
      <c r="G71" s="19"/>
    </row>
    <row r="72" spans="2:8" s="13" customFormat="1" ht="14.25">
      <c r="B72" s="19"/>
      <c r="C72" s="19"/>
      <c r="D72" s="19"/>
      <c r="E72" s="19" t="str">
        <f t="shared" si="0"/>
        <v/>
      </c>
      <c r="F72" s="20"/>
      <c r="G72" s="19"/>
    </row>
    <row r="73" spans="2:8" s="13" customFormat="1" ht="14.25">
      <c r="B73" s="19"/>
      <c r="C73" s="19"/>
      <c r="D73" s="19"/>
      <c r="E73" s="19" t="str">
        <f t="shared" si="0"/>
        <v/>
      </c>
      <c r="F73" s="20"/>
      <c r="G73" s="19"/>
      <c r="H73" s="14"/>
    </row>
    <row r="74" spans="2:8" s="13" customFormat="1" ht="14.25">
      <c r="B74" s="19"/>
      <c r="C74" s="19"/>
      <c r="D74" s="19"/>
      <c r="E74" s="19" t="str">
        <f t="shared" si="0"/>
        <v/>
      </c>
      <c r="F74" s="20"/>
      <c r="G74" s="19"/>
      <c r="H74" s="14"/>
    </row>
    <row r="75" spans="2:8" s="13" customFormat="1" ht="14.25">
      <c r="B75" s="19"/>
      <c r="C75" s="19"/>
      <c r="D75" s="19"/>
      <c r="E75" s="19" t="str">
        <f t="shared" si="0"/>
        <v/>
      </c>
      <c r="F75" s="20"/>
      <c r="G75" s="19"/>
      <c r="H75" s="14"/>
    </row>
    <row r="76" spans="2:8" ht="14.25">
      <c r="B76" s="19"/>
      <c r="C76" s="19"/>
      <c r="D76" s="19"/>
      <c r="E76" s="19" t="str">
        <f t="shared" si="0"/>
        <v/>
      </c>
      <c r="F76" s="20"/>
      <c r="G76" s="19"/>
    </row>
    <row r="77" spans="2:8" ht="14.25">
      <c r="B77" s="19"/>
      <c r="C77" s="19"/>
      <c r="D77" s="19"/>
      <c r="E77" s="19" t="str">
        <f t="shared" si="0"/>
        <v/>
      </c>
      <c r="F77" s="20"/>
      <c r="G77" s="19"/>
    </row>
    <row r="78" spans="2:8" ht="14.25">
      <c r="B78" s="19"/>
      <c r="C78" s="19"/>
      <c r="D78" s="19"/>
      <c r="E78" s="19" t="str">
        <f t="shared" si="0"/>
        <v/>
      </c>
      <c r="F78" s="20"/>
      <c r="G78" s="19"/>
    </row>
    <row r="79" spans="2:8" ht="14.25">
      <c r="B79" s="19"/>
      <c r="C79" s="19"/>
      <c r="D79" s="19"/>
      <c r="E79" s="19" t="str">
        <f t="shared" si="0"/>
        <v/>
      </c>
      <c r="F79" s="20"/>
      <c r="G79" s="19"/>
    </row>
    <row r="80" spans="2:8" ht="14.25">
      <c r="B80" s="19"/>
      <c r="C80" s="19"/>
      <c r="D80" s="19"/>
      <c r="E80" s="19" t="str">
        <f t="shared" si="0"/>
        <v/>
      </c>
      <c r="F80" s="20"/>
      <c r="G80" s="19"/>
    </row>
    <row r="81" spans="1:7" ht="14.25">
      <c r="B81" s="19"/>
      <c r="C81" s="19"/>
      <c r="D81" s="19"/>
      <c r="E81" s="19" t="str">
        <f t="shared" si="0"/>
        <v/>
      </c>
      <c r="F81" s="20"/>
      <c r="G81" s="19"/>
    </row>
    <row r="82" spans="1:7" ht="14.25">
      <c r="B82" s="19"/>
      <c r="C82" s="19"/>
      <c r="D82" s="19"/>
      <c r="E82" s="19" t="str">
        <f t="shared" si="0"/>
        <v/>
      </c>
      <c r="F82" s="20"/>
      <c r="G82" s="19"/>
    </row>
    <row r="83" spans="1:7" ht="14.25">
      <c r="B83" s="19"/>
      <c r="C83" s="19"/>
      <c r="D83" s="19"/>
      <c r="E83" s="19" t="str">
        <f t="shared" si="0"/>
        <v/>
      </c>
      <c r="F83" s="20"/>
      <c r="G83" s="19"/>
    </row>
    <row r="84" spans="1:7" ht="14.25">
      <c r="B84" s="19"/>
      <c r="C84" s="19"/>
      <c r="D84" s="19"/>
      <c r="E84" s="19" t="str">
        <f t="shared" si="0"/>
        <v/>
      </c>
      <c r="F84" s="20"/>
      <c r="G84" s="19"/>
    </row>
    <row r="85" spans="1:7" ht="14.25">
      <c r="B85" s="19"/>
      <c r="C85" s="19"/>
      <c r="D85" s="19"/>
      <c r="E85" s="19" t="str">
        <f t="shared" si="0"/>
        <v/>
      </c>
      <c r="F85" s="20"/>
      <c r="G85" s="19"/>
    </row>
    <row r="86" spans="1:7" ht="14.25">
      <c r="B86" s="19"/>
      <c r="C86" s="19"/>
      <c r="D86" s="19"/>
      <c r="E86" s="19" t="str">
        <f t="shared" si="0"/>
        <v/>
      </c>
      <c r="F86" s="20"/>
      <c r="G86" s="19"/>
    </row>
    <row r="87" spans="1:7" s="3" customFormat="1" ht="14.25">
      <c r="A87" s="1"/>
      <c r="B87" s="19"/>
      <c r="C87" s="19"/>
      <c r="D87" s="19"/>
      <c r="E87" s="19" t="str">
        <f t="shared" si="0"/>
        <v/>
      </c>
      <c r="F87" s="20"/>
      <c r="G87" s="19"/>
    </row>
    <row r="88" spans="1:7" s="3" customFormat="1" ht="14.25">
      <c r="A88" s="1"/>
      <c r="B88" s="19"/>
      <c r="C88" s="19"/>
      <c r="D88" s="19"/>
      <c r="E88" s="19" t="str">
        <f t="shared" si="0"/>
        <v/>
      </c>
      <c r="F88" s="20"/>
      <c r="G88" s="19"/>
    </row>
    <row r="89" spans="1:7" s="3" customFormat="1" ht="14.25">
      <c r="A89" s="1"/>
      <c r="B89" s="19"/>
      <c r="C89" s="19"/>
      <c r="D89" s="19"/>
      <c r="E89" s="19" t="str">
        <f t="shared" si="0"/>
        <v/>
      </c>
      <c r="F89" s="20"/>
      <c r="G89" s="19"/>
    </row>
    <row r="90" spans="1:7" s="3" customFormat="1" ht="14.25">
      <c r="A90" s="1"/>
      <c r="B90" s="19"/>
      <c r="C90" s="19"/>
      <c r="D90" s="19"/>
      <c r="E90" s="19" t="str">
        <f t="shared" si="0"/>
        <v/>
      </c>
      <c r="F90" s="20"/>
      <c r="G90" s="19"/>
    </row>
    <row r="91" spans="1:7" s="3" customFormat="1" ht="14.25">
      <c r="A91" s="1"/>
      <c r="B91" s="19"/>
      <c r="C91" s="19"/>
      <c r="D91" s="19"/>
      <c r="E91" s="19" t="str">
        <f t="shared" si="0"/>
        <v/>
      </c>
      <c r="F91" s="20"/>
      <c r="G91" s="19"/>
    </row>
    <row r="92" spans="1:7" s="3" customFormat="1" ht="14.25">
      <c r="A92" s="1"/>
      <c r="B92" s="19"/>
      <c r="C92" s="19"/>
      <c r="D92" s="19"/>
      <c r="E92" s="19" t="str">
        <f t="shared" ref="E92:E114" si="1">IF(B92="","","Y")</f>
        <v/>
      </c>
      <c r="F92" s="20"/>
      <c r="G92" s="19"/>
    </row>
    <row r="93" spans="1:7" s="3" customFormat="1" ht="14.25">
      <c r="A93" s="1"/>
      <c r="B93" s="19"/>
      <c r="C93" s="19"/>
      <c r="D93" s="19"/>
      <c r="E93" s="19" t="str">
        <f t="shared" si="1"/>
        <v/>
      </c>
      <c r="F93" s="20"/>
      <c r="G93" s="19"/>
    </row>
    <row r="94" spans="1:7" s="3" customFormat="1" ht="14.25">
      <c r="A94" s="1"/>
      <c r="B94" s="19"/>
      <c r="C94" s="19"/>
      <c r="D94" s="19"/>
      <c r="E94" s="19" t="str">
        <f t="shared" si="1"/>
        <v/>
      </c>
      <c r="F94" s="20"/>
      <c r="G94" s="19"/>
    </row>
    <row r="95" spans="1:7" s="3" customFormat="1" ht="14.25">
      <c r="A95" s="1"/>
      <c r="B95" s="19"/>
      <c r="C95" s="19"/>
      <c r="D95" s="19"/>
      <c r="E95" s="19" t="str">
        <f t="shared" si="1"/>
        <v/>
      </c>
      <c r="F95" s="20"/>
      <c r="G95" s="19"/>
    </row>
    <row r="96" spans="1:7" s="3" customFormat="1" ht="14.25">
      <c r="A96" s="1"/>
      <c r="B96" s="19"/>
      <c r="C96" s="19"/>
      <c r="D96" s="19"/>
      <c r="E96" s="19" t="str">
        <f t="shared" si="1"/>
        <v/>
      </c>
      <c r="F96" s="20"/>
      <c r="G96" s="19"/>
    </row>
    <row r="97" spans="1:7" s="3" customFormat="1" ht="14.25">
      <c r="A97" s="1"/>
      <c r="B97" s="19"/>
      <c r="C97" s="19"/>
      <c r="D97" s="19"/>
      <c r="E97" s="19" t="str">
        <f t="shared" si="1"/>
        <v/>
      </c>
      <c r="F97" s="20"/>
      <c r="G97" s="19"/>
    </row>
    <row r="98" spans="1:7" s="3" customFormat="1" ht="14.25">
      <c r="A98" s="1"/>
      <c r="B98" s="19"/>
      <c r="C98" s="19"/>
      <c r="D98" s="19"/>
      <c r="E98" s="19" t="str">
        <f t="shared" si="1"/>
        <v/>
      </c>
      <c r="F98" s="20"/>
      <c r="G98" s="19"/>
    </row>
    <row r="99" spans="1:7" s="3" customFormat="1" ht="14.25">
      <c r="A99" s="1"/>
      <c r="B99" s="19"/>
      <c r="C99" s="19"/>
      <c r="D99" s="19"/>
      <c r="E99" s="19" t="str">
        <f t="shared" si="1"/>
        <v/>
      </c>
      <c r="F99" s="20"/>
      <c r="G99" s="19"/>
    </row>
    <row r="100" spans="1:7" s="3" customFormat="1" ht="14.25">
      <c r="A100" s="1"/>
      <c r="B100" s="19"/>
      <c r="C100" s="19"/>
      <c r="D100" s="19"/>
      <c r="E100" s="19" t="str">
        <f t="shared" si="1"/>
        <v/>
      </c>
      <c r="F100" s="20"/>
      <c r="G100" s="19"/>
    </row>
    <row r="101" spans="1:7" s="3" customFormat="1" ht="14.25">
      <c r="A101" s="1"/>
      <c r="B101" s="19"/>
      <c r="C101" s="19"/>
      <c r="D101" s="19"/>
      <c r="E101" s="19" t="str">
        <f t="shared" si="1"/>
        <v/>
      </c>
      <c r="F101" s="20"/>
      <c r="G101" s="19"/>
    </row>
    <row r="102" spans="1:7" s="3" customFormat="1" ht="14.25">
      <c r="A102" s="1"/>
      <c r="B102" s="19"/>
      <c r="C102" s="19"/>
      <c r="D102" s="19"/>
      <c r="E102" s="19" t="str">
        <f t="shared" si="1"/>
        <v/>
      </c>
      <c r="F102" s="20"/>
      <c r="G102" s="19"/>
    </row>
    <row r="103" spans="1:7" s="3" customFormat="1" ht="14.25">
      <c r="A103" s="1"/>
      <c r="B103" s="19"/>
      <c r="C103" s="19"/>
      <c r="D103" s="19"/>
      <c r="E103" s="19" t="str">
        <f t="shared" si="1"/>
        <v/>
      </c>
      <c r="F103" s="20"/>
      <c r="G103" s="19"/>
    </row>
    <row r="104" spans="1:7" s="3" customFormat="1" ht="14.25">
      <c r="A104" s="1"/>
      <c r="B104" s="19"/>
      <c r="C104" s="19"/>
      <c r="D104" s="19"/>
      <c r="E104" s="19" t="str">
        <f t="shared" si="1"/>
        <v/>
      </c>
      <c r="F104" s="20"/>
      <c r="G104" s="19"/>
    </row>
    <row r="105" spans="1:7" s="3" customFormat="1" ht="14.25">
      <c r="A105" s="1"/>
      <c r="B105" s="19"/>
      <c r="C105" s="19"/>
      <c r="D105" s="19"/>
      <c r="E105" s="19" t="str">
        <f t="shared" si="1"/>
        <v/>
      </c>
      <c r="F105" s="20"/>
      <c r="G105" s="19"/>
    </row>
    <row r="106" spans="1:7" s="3" customFormat="1" ht="14.25">
      <c r="A106" s="1"/>
      <c r="B106" s="19"/>
      <c r="C106" s="19"/>
      <c r="D106" s="19"/>
      <c r="E106" s="19" t="str">
        <f t="shared" si="1"/>
        <v/>
      </c>
      <c r="F106" s="20"/>
      <c r="G106" s="19"/>
    </row>
    <row r="107" spans="1:7" s="3" customFormat="1" ht="14.25">
      <c r="A107" s="1"/>
      <c r="B107" s="19"/>
      <c r="C107" s="19"/>
      <c r="D107" s="19"/>
      <c r="E107" s="19" t="str">
        <f t="shared" si="1"/>
        <v/>
      </c>
      <c r="F107" s="20"/>
      <c r="G107" s="19"/>
    </row>
    <row r="108" spans="1:7" s="3" customFormat="1" ht="14.25">
      <c r="A108" s="1"/>
      <c r="B108" s="19"/>
      <c r="C108" s="19"/>
      <c r="D108" s="19"/>
      <c r="E108" s="19" t="str">
        <f t="shared" si="1"/>
        <v/>
      </c>
      <c r="F108" s="20"/>
      <c r="G108" s="19"/>
    </row>
    <row r="109" spans="1:7" s="3" customFormat="1" ht="14.25">
      <c r="A109" s="1"/>
      <c r="B109" s="19"/>
      <c r="C109" s="19"/>
      <c r="D109" s="19"/>
      <c r="E109" s="19" t="str">
        <f t="shared" si="1"/>
        <v/>
      </c>
      <c r="F109" s="20"/>
      <c r="G109" s="19"/>
    </row>
    <row r="110" spans="1:7" s="3" customFormat="1" ht="14.25">
      <c r="A110" s="1"/>
      <c r="B110" s="19"/>
      <c r="C110" s="19"/>
      <c r="D110" s="19"/>
      <c r="E110" s="19" t="str">
        <f t="shared" si="1"/>
        <v/>
      </c>
      <c r="F110" s="20"/>
      <c r="G110" s="19"/>
    </row>
    <row r="111" spans="1:7" s="3" customFormat="1" ht="14.25">
      <c r="A111" s="1"/>
      <c r="B111" s="19"/>
      <c r="C111" s="19"/>
      <c r="D111" s="19"/>
      <c r="E111" s="19" t="str">
        <f t="shared" si="1"/>
        <v/>
      </c>
      <c r="F111" s="20"/>
      <c r="G111" s="19"/>
    </row>
    <row r="112" spans="1:7" s="3" customFormat="1" ht="14.25">
      <c r="A112" s="1"/>
      <c r="B112" s="19"/>
      <c r="C112" s="19"/>
      <c r="D112" s="19"/>
      <c r="E112" s="19" t="str">
        <f t="shared" si="1"/>
        <v/>
      </c>
      <c r="F112" s="20"/>
      <c r="G112" s="19"/>
    </row>
    <row r="113" spans="1:7" s="3" customFormat="1" ht="14.25">
      <c r="A113" s="1"/>
      <c r="B113" s="19"/>
      <c r="C113" s="19"/>
      <c r="D113" s="19"/>
      <c r="E113" s="19" t="str">
        <f t="shared" si="1"/>
        <v/>
      </c>
      <c r="F113" s="20"/>
      <c r="G113" s="19"/>
    </row>
    <row r="114" spans="1:7" s="3" customFormat="1" ht="14.25">
      <c r="A114" s="1"/>
      <c r="B114" s="19"/>
      <c r="C114" s="19"/>
      <c r="D114" s="19"/>
      <c r="E114" s="19" t="str">
        <f t="shared" si="1"/>
        <v/>
      </c>
      <c r="F114" s="20"/>
      <c r="G114" s="19"/>
    </row>
  </sheetData>
  <mergeCells count="1">
    <mergeCell ref="B3:C3"/>
  </mergeCells>
  <pageMargins left="0.7" right="0.7" top="0.75" bottom="0.75" header="0.3" footer="0.3"/>
  <pageSetup paperSize="9" orientation="portrait" r:id="rId1"/>
  <drawing r:id="rId2"/>
</worksheet>
</file>

<file path=customUI/customUI.xml><?xml version="1.0" encoding="utf-8"?>
<customUI xmlns="http://schemas.microsoft.com/office/2006/01/customui">
  <ribbon>
    <tabs>
      <tab id="greToolsTab" label="GRe Tool Ribbon">
        <group id="greActionsGroup" label="Actions">
          <button id="greGatherButton" label="Gather" size="large" imageMso="DatabaseInsert" onAction="GRe_RibbonGather"/>
          <button id="greUpdateButton" label="Update" size="large" imageMso="RefreshAll" onAction="GRe_RibbonUpdate"/>
          <button id="greBuildButton" label="Build" size="large" imageMso="FileSaveAs" onAction="GRe_RibbonBuil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5</vt:i4>
      </vt:variant>
    </vt:vector>
  </HeadingPairs>
  <TitlesOfParts>
    <vt:vector size="6" baseType="lpstr">
      <vt:lpstr>RMStoYELT</vt:lpstr>
      <vt:lpstr>RMStoYELT!ExternalData_1</vt:lpstr>
      <vt:lpstr>RMStoYELT!ExternalData_2</vt:lpstr>
      <vt:lpstr>RMStoYELT!ExternalData_3</vt:lpstr>
      <vt:lpstr>RMStoYELT!ExternalData_4</vt:lpstr>
      <vt:lpstr>RMStoYELT!ExternalData_5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Xiaoran Zhang</dc:creator>
  <cp:lastModifiedBy>Xiaoran Zhang</cp:lastModifiedBy>
  <dcterms:created xsi:type="dcterms:W3CDTF">2026-06-26T05:26:25Z</dcterms:created>
  <dcterms:modified xsi:type="dcterms:W3CDTF">2026-06-26T06:20:06Z</dcterms:modified>
</cp:coreProperties>
</file>